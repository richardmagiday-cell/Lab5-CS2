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145299d11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ad535cb47b144d8"/>
    <x:sheet xmlns:r="http://schemas.openxmlformats.org/officeDocument/2006/relationships" name="Charts" sheetId="2" r:id="R2006b7d6d1db4b3c"/>
    <x:sheet xmlns:r="http://schemas.openxmlformats.org/officeDocument/2006/relationships" name="Summary" sheetId="3" r:id="R199059fdf4e1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200" fontId="0" fillId="0" borderId="7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center"/>
    </x:xf>
    <x:xf numFmtId="200" fontId="0" fillId="0" borderId="16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18" xfId="0" applyNumberFormat="1" applyFont="1" applyFill="1" applyBorder="1" applyAlignment="1">
      <x:alignment horizontal="center"/>
    </x:xf>
    <x:xf numFmtId="200" fontId="0" fillId="0" borderId="19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 vertical="center" wrapText="1"/>
    </x:xf>
    <x:xf numFmtId="200" fontId="0" fillId="5" borderId="6" xfId="0" applyNumberFormat="1" applyFont="1" applyFill="1" applyBorder="1" applyAlignment="1">
      <x:alignment horizontal="center"/>
    </x:xf>
    <x:xf numFmtId="200" fontId="0" fillId="5" borderId="9" xfId="0" applyNumberFormat="1" applyFont="1" applyFill="1" applyBorder="1" applyAlignment="1">
      <x:alignment horizontal="center"/>
    </x:xf>
    <x:xf numFmtId="0" fontId="3" fillId="5" borderId="12" xfId="0" applyNumberFormat="1" applyFont="1" applyFill="1" applyBorder="1" applyAlignment="1">
      <x:alignment horizontal="center" vertical="center" wrapText="1"/>
    </x:xf>
    <x:xf numFmtId="200" fontId="0" fillId="5" borderId="15" xfId="0" applyNumberFormat="1" applyFont="1" applyFill="1" applyBorder="1" applyAlignment="1">
      <x:alignment horizontal="center"/>
    </x:xf>
    <x:xf numFmtId="200" fontId="0" fillId="5" borderId="18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/>
    </x:xf>
    <x:xf numFmtId="200" fontId="4" fillId="5" borderId="15" xfId="0" applyNumberFormat="1" applyFont="1" applyFill="1" applyBorder="1" applyAlignment="1">
      <x:alignment horizontal="center"/>
    </x:xf>
    <x:xf numFmtId="200" fontId="4" fillId="5" borderId="18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 vertical="center" wrapText="1"/>
    </x:xf>
    <x:xf numFmtId="200" fontId="0" fillId="5" borderId="7" xfId="0" applyNumberFormat="1" applyFont="1" applyFill="1" applyBorder="1" applyAlignment="1">
      <x:alignment horizontal="center"/>
    </x:xf>
    <x:xf numFmtId="200" fontId="0" fillId="5" borderId="10" xfId="0" applyNumberFormat="1" applyFont="1" applyFill="1" applyBorder="1" applyAlignment="1">
      <x:alignment horizontal="center"/>
    </x:xf>
    <x:xf numFmtId="0" fontId="3" fillId="5" borderId="13" xfId="0" applyNumberFormat="1" applyFont="1" applyFill="1" applyBorder="1" applyAlignment="1">
      <x:alignment horizontal="center" vertical="center" wrapText="1"/>
    </x:xf>
    <x:xf numFmtId="200" fontId="0" fillId="5" borderId="16" xfId="0" applyNumberFormat="1" applyFont="1" applyFill="1" applyBorder="1" applyAlignment="1">
      <x:alignment horizontal="center"/>
    </x:xf>
    <x:xf numFmtId="200" fontId="0" fillId="5" borderId="19" xfId="0" applyNumberFormat="1" applyFont="1" applyFill="1" applyBorder="1" applyAlignment="1">
      <x:alignment horizontal="center"/>
    </x:xf>
    <x:xf numFmtId="200" fontId="4" fillId="5" borderId="7" xfId="0" applyNumberFormat="1" applyFont="1" applyFill="1" applyBorder="1" applyAlignment="1">
      <x:alignment horizontal="center"/>
    </x:xf>
    <x:xf numFmtId="200" fontId="4" fillId="5" borderId="10" xfId="0" applyNumberFormat="1" applyFont="1" applyFill="1" applyBorder="1" applyAlignment="1">
      <x:alignment horizontal="center"/>
    </x:xf>
    <x:xf numFmtId="200" fontId="4" fillId="5" borderId="16" xfId="0" applyNumberFormat="1" applyFont="1" applyFill="1" applyBorder="1" applyAlignment="1">
      <x:alignment horizontal="center"/>
    </x:xf>
    <x:xf numFmtId="200" fontId="4" fillId="5" borderId="19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0" xfId="0" applyNumberFormat="1" applyFont="1" applyFill="1" applyBorder="1"/>
    <x:xf numFmtId="200" fontId="3" fillId="4" borderId="2" xfId="0" applyNumberFormat="1" applyFont="1" applyFill="1" applyBorder="1" applyAlignment="1">
      <x:alignment horizontal="center" vertical="center" wrapText="1"/>
    </x:xf>
    <x:xf numFmtId="200" fontId="3" fillId="4" borderId="3" xfId="0" applyNumberFormat="1" applyFont="1" applyFill="1" applyBorder="1" applyAlignment="1">
      <x:alignment horizontal="center" vertical="center" wrapText="1"/>
    </x:xf>
    <x:xf numFmtId="200" fontId="3" fillId="4" borderId="4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3" fillId="4" borderId="11" xfId="0" applyNumberFormat="1" applyFont="1" applyFill="1" applyBorder="1" applyAlignment="1">
      <x:alignment horizontal="center" vertical="center" wrapText="1"/>
    </x:xf>
    <x:xf numFmtId="200" fontId="3" fillId="4" borderId="12" xfId="0" applyNumberFormat="1" applyFont="1" applyFill="1" applyBorder="1" applyAlignment="1">
      <x:alignment horizontal="center" vertical="center" wrapText="1"/>
    </x:xf>
    <x:xf numFmtId="200" fontId="3" fillId="4" borderId="13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c864d79f74d47" /><Relationship Type="http://schemas.openxmlformats.org/officeDocument/2006/relationships/theme" Target="/xl/theme/theme1.xml" Id="R413e2853543a41d5" /><Relationship Type="http://schemas.openxmlformats.org/officeDocument/2006/relationships/sharedStrings" Target="/xl/sharedStrings.xml" Id="R4e6dd71292f24e12" /><Relationship Type="http://schemas.openxmlformats.org/officeDocument/2006/relationships/worksheet" Target="/xl/worksheets/sheet1.xml" Id="R5ad535cb47b144d8" /><Relationship Type="http://schemas.openxmlformats.org/officeDocument/2006/relationships/worksheet" Target="/xl/worksheets/sheet2.xml" Id="R2006b7d6d1db4b3c" /><Relationship Type="http://schemas.openxmlformats.org/officeDocument/2006/relationships/worksheet" Target="/xl/worksheets/sheet3.xml" Id="R199059fdf4e14f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bb903d2ac64c0d" /><Relationship Type="http://schemas.openxmlformats.org/officeDocument/2006/relationships/chart" Target="/xl/drawings/charts/chart2.xml" Id="R2dbb8d7f4f184ebd" /><Relationship Type="http://schemas.openxmlformats.org/officeDocument/2006/relationships/chart" Target="/xl/drawings/charts/chart3.xml" Id="Rabb594dacf8540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Insertion Time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Skip List Avg Insert</c:v>
          </c:tx>
          <c:cat>
            <c:strRef>
              <c:f>'Charts'!$A$4:$A$13</c:f>
              <c:strCache>
                <c:ptCount val="0"/>
              </c:strCache>
            </c:strRef>
          </c:cat>
          <c:val>
            <c:numRef>
              <c:f>'Charts'!$B$4:$B$13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TreeSet Avg Insert</c:v>
          </c:tx>
          <c:cat>
            <c:strRef>
              <c:f>'Charts'!$A$4:$A$13</c:f>
              <c:strCache>
                <c:ptCount val="0"/>
              </c:strCache>
            </c:strRef>
          </c:cat>
          <c:val>
            <c:numRef>
              <c:f>'Charts'!$C$4:$C$13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Deletion Time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Skip List Avg Delete</c:v>
          </c:tx>
          <c:cat>
            <c:strRef>
              <c:f>'Charts'!$A$18:$A$27</c:f>
              <c:strCache>
                <c:ptCount val="0"/>
              </c:strCache>
            </c:strRef>
          </c:cat>
          <c:val>
            <c:numRef>
              <c:f>'Charts'!$B$18:$B$27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TreeSet Avg Delete</c:v>
          </c:tx>
          <c:cat>
            <c:strRef>
              <c:f>'Charts'!$A$18:$A$27</c:f>
              <c:strCache>
                <c:ptCount val="0"/>
              </c:strCache>
            </c:strRef>
          </c:cat>
          <c:val>
            <c:numRef>
              <c:f>'Charts'!$C$18:$C$27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Total Action Time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Skip List Avg Total</c:v>
          </c:tx>
          <c:cat>
            <c:strRef>
              <c:f>'Charts'!$A$32:$A$41</c:f>
              <c:strCache>
                <c:ptCount val="0"/>
              </c:strCache>
            </c:strRef>
          </c:cat>
          <c:val>
            <c:numRef>
              <c:f>'Charts'!$B$32:$B$41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TreeSet Avg Total</c:v>
          </c:tx>
          <c:cat>
            <c:strRef>
              <c:f>'Charts'!$A$32:$A$41</c:f>
              <c:strCache>
                <c:ptCount val="0"/>
              </c:strCache>
            </c:strRef>
          </c:cat>
          <c:val>
            <c:numRef>
              <c:f>'Charts'!$C$32:$C$41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bb903d2ac64c0d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bb8d7f4f184ebd"/>
        </a:graphicData>
      </a:graphic>
    </xdr:graphicFrame>
    <xdr:clientData/>
  </xdr:twoCellAnchor>
  <xdr:twoCellAnchor>
    <xdr:from>
      <xdr:col>4</xdr:col>
      <xdr:colOff>0</xdr:colOff>
      <xdr:row>36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b594dacf85409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mingResults" displayName="TimingResults" ref="A4:Y14" headerRowCount="1">
  <x:tableColumns count="25">
    <x:tableColumn id="1" name="Test Size"/>
    <x:tableColumn id="2" name="Skip List Insertion (ms) Run 1"/>
    <x:tableColumn id="3" name="Skip List Insertion (ms) Run 2"/>
    <x:tableColumn id="4" name="Skip List Insertion (ms) Run 3"/>
    <x:tableColumn id="5" name="Skip List Insertion (ms) Avg"/>
    <x:tableColumn id="6" name="Skip List Deletion (ms) Run 1"/>
    <x:tableColumn id="7" name="Skip List Deletion (ms) Run 2"/>
    <x:tableColumn id="8" name="Skip List Deletion (ms) Run 3"/>
    <x:tableColumn id="9" name="Skip List Deletion (ms) Avg"/>
    <x:tableColumn id="10" name="Skip List Total Actions (ms) Run 1"/>
    <x:tableColumn id="11" name="Skip List Total Actions (ms) Run 2"/>
    <x:tableColumn id="12" name="Skip List Total Actions (ms) Run 3"/>
    <x:tableColumn id="13" name="Skip List Total Actions (ms) Avg"/>
    <x:tableColumn id="14" name="TreeSet Insertion (ms) Run 1"/>
    <x:tableColumn id="15" name="TreeSet Insertion (ms) Run 2"/>
    <x:tableColumn id="16" name="TreeSet Insertion (ms) Run 3"/>
    <x:tableColumn id="17" name="TreeSet Insertion (ms) Avg"/>
    <x:tableColumn id="18" name="TreeSet Deletion (ms) Run 1"/>
    <x:tableColumn id="19" name="TreeSet Deletion (ms) Run 2"/>
    <x:tableColumn id="20" name="TreeSet Deletion (ms) Run 3"/>
    <x:tableColumn id="21" name="TreeSet Deletion (ms) Avg"/>
    <x:tableColumn id="22" name="TreeSet Total Actions (ms) Run 1"/>
    <x:tableColumn id="23" name="TreeSet Total Actions (ms) Run 2"/>
    <x:tableColumn id="24" name="TreeSet Total Actions (ms) Run 3"/>
    <x:tableColumn id="25" name="TreeSet Total Actions (ms) Av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28533b379440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2f26c9c794847e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>
      <x:c r="A1" s="5" t="str">
        <x:v>Lab 5 CS2 - Skip List vs TreeSet Timing Results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12" t="str">
        <x:v>All times are in milliseconds. Average columns use the three recorded runs.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</x:row>
    <x:row r="4" ht="42" customHeight="1">
      <x:c r="A4" s="28" t="str">
        <x:v>Test Size</x:v>
      </x:c>
      <x:c r="B4" s="29" t="str">
        <x:v>Skip List Insertion (ms) Run 1</x:v>
      </x:c>
      <x:c r="C4" s="29" t="str">
        <x:v>Skip List Insertion (ms) Run 2</x:v>
      </x:c>
      <x:c r="D4" s="29" t="str">
        <x:v>Skip List Insertion (ms) Run 3</x:v>
      </x:c>
      <x:c r="E4" s="58" t="str">
        <x:v>Skip List Insertion (ms) Avg</x:v>
      </x:c>
      <x:c r="F4" s="29" t="str">
        <x:v>Skip List Deletion (ms) Run 1</x:v>
      </x:c>
      <x:c r="G4" s="29" t="str">
        <x:v>Skip List Deletion (ms) Run 2</x:v>
      </x:c>
      <x:c r="H4" s="29" t="str">
        <x:v>Skip List Deletion (ms) Run 3</x:v>
      </x:c>
      <x:c r="I4" s="58" t="str">
        <x:v>Skip List Deletion (ms) Avg</x:v>
      </x:c>
      <x:c r="J4" s="29" t="str">
        <x:v>Skip List Total Actions (ms) Run 1</x:v>
      </x:c>
      <x:c r="K4" s="29" t="str">
        <x:v>Skip List Total Actions (ms) Run 2</x:v>
      </x:c>
      <x:c r="L4" s="29" t="str">
        <x:v>Skip List Total Actions (ms) Run 3</x:v>
      </x:c>
      <x:c r="M4" s="58" t="str">
        <x:v>Skip List Total Actions (ms) Avg</x:v>
      </x:c>
      <x:c r="N4" s="29" t="str">
        <x:v>TreeSet Insertion (ms) Run 1</x:v>
      </x:c>
      <x:c r="O4" s="29" t="str">
        <x:v>TreeSet Insertion (ms) Run 2</x:v>
      </x:c>
      <x:c r="P4" s="29" t="str">
        <x:v>TreeSet Insertion (ms) Run 3</x:v>
      </x:c>
      <x:c r="Q4" s="58" t="str">
        <x:v>TreeSet Insertion (ms) Avg</x:v>
      </x:c>
      <x:c r="R4" s="29" t="str">
        <x:v>TreeSet Deletion (ms) Run 1</x:v>
      </x:c>
      <x:c r="S4" s="29" t="str">
        <x:v>TreeSet Deletion (ms) Run 2</x:v>
      </x:c>
      <x:c r="T4" s="29" t="str">
        <x:v>TreeSet Deletion (ms) Run 3</x:v>
      </x:c>
      <x:c r="U4" s="58" t="str">
        <x:v>TreeSet Deletion (ms) Avg</x:v>
      </x:c>
      <x:c r="V4" s="29" t="str">
        <x:v>TreeSet Total Actions (ms) Run 1</x:v>
      </x:c>
      <x:c r="W4" s="29" t="str">
        <x:v>TreeSet Total Actions (ms) Run 2</x:v>
      </x:c>
      <x:c r="X4" s="29" t="str">
        <x:v>TreeSet Total Actions (ms) Run 3</x:v>
      </x:c>
      <x:c r="Y4" s="68" t="str">
        <x:v>TreeSet Total Actions (ms) Avg</x:v>
      </x:c>
    </x:row>
    <x:row r="5">
      <x:c r="A5" s="46" t="n">
        <x:v>50000</x:v>
      </x:c>
      <x:c r="B5" s="47" t="n">
        <x:v>35</x:v>
      </x:c>
      <x:c r="C5" s="47" t="n">
        <x:v>37</x:v>
      </x:c>
      <x:c r="D5" s="47" t="n">
        <x:v>30</x:v>
      </x:c>
      <x:c r="E5" s="64" t="n">
        <x:f>AVERAGE(B5:D5)</x:f>
        <x:v>34</x:v>
      </x:c>
      <x:c r="F5" s="47" t="n">
        <x:v>25</x:v>
      </x:c>
      <x:c r="G5" s="47" t="n">
        <x:v>39</x:v>
      </x:c>
      <x:c r="H5" s="47" t="n">
        <x:v>20</x:v>
      </x:c>
      <x:c r="I5" s="64" t="n">
        <x:f>AVERAGE(F5:H5)</x:f>
        <x:v>28</x:v>
      </x:c>
      <x:c r="J5" s="47" t="n">
        <x:v>60</x:v>
      </x:c>
      <x:c r="K5" s="47" t="n">
        <x:v>76</x:v>
      </x:c>
      <x:c r="L5" s="47" t="n">
        <x:v>50</x:v>
      </x:c>
      <x:c r="M5" s="64" t="n">
        <x:f>AVERAGE(J5:L5)</x:f>
        <x:v>62</x:v>
      </x:c>
      <x:c r="N5" s="47" t="n">
        <x:v>18</x:v>
      </x:c>
      <x:c r="O5" s="47" t="n">
        <x:v>18</x:v>
      </x:c>
      <x:c r="P5" s="47" t="n">
        <x:v>17</x:v>
      </x:c>
      <x:c r="Q5" s="64" t="n">
        <x:f>AVERAGE(N5:P5)</x:f>
        <x:v>17.666666666666668</x:v>
      </x:c>
      <x:c r="R5" s="47" t="n">
        <x:v>10</x:v>
      </x:c>
      <x:c r="S5" s="47" t="n">
        <x:v>12</x:v>
      </x:c>
      <x:c r="T5" s="47" t="n">
        <x:v>10</x:v>
      </x:c>
      <x:c r="U5" s="64" t="n">
        <x:f>AVERAGE(R5:T5)</x:f>
        <x:v>10.666666666666666</x:v>
      </x:c>
      <x:c r="V5" s="47" t="n">
        <x:v>28</x:v>
      </x:c>
      <x:c r="W5" s="47" t="n">
        <x:v>30</x:v>
      </x:c>
      <x:c r="X5" s="47" t="n">
        <x:v>27</x:v>
      </x:c>
      <x:c r="Y5" s="74" t="n">
        <x:f>AVERAGE(V5:X5)</x:f>
        <x:v>28.333333333333332</x:v>
      </x:c>
    </x:row>
    <x:row r="6">
      <x:c r="A6" s="46" t="n">
        <x:v>100000</x:v>
      </x:c>
      <x:c r="B6" s="47" t="n">
        <x:v>60</x:v>
      </x:c>
      <x:c r="C6" s="47" t="n">
        <x:v>50</x:v>
      </x:c>
      <x:c r="D6" s="47" t="n">
        <x:v>52</x:v>
      </x:c>
      <x:c r="E6" s="64" t="n">
        <x:f>AVERAGE(B6:D6)</x:f>
        <x:v>54</x:v>
      </x:c>
      <x:c r="F6" s="47" t="n">
        <x:v>55</x:v>
      </x:c>
      <x:c r="G6" s="47" t="n">
        <x:v>59</x:v>
      </x:c>
      <x:c r="H6" s="47" t="n">
        <x:v>59</x:v>
      </x:c>
      <x:c r="I6" s="64" t="n">
        <x:f>AVERAGE(F6:H6)</x:f>
        <x:v>57.666666666666664</x:v>
      </x:c>
      <x:c r="J6" s="47" t="n">
        <x:v>115</x:v>
      </x:c>
      <x:c r="K6" s="47" t="n">
        <x:v>109</x:v>
      </x:c>
      <x:c r="L6" s="47" t="n">
        <x:v>111</x:v>
      </x:c>
      <x:c r="M6" s="64" t="n">
        <x:f>AVERAGE(J6:L6)</x:f>
        <x:v>111.66666666666667</x:v>
      </x:c>
      <x:c r="N6" s="47" t="n">
        <x:v>20</x:v>
      </x:c>
      <x:c r="O6" s="47" t="n">
        <x:v>30</x:v>
      </x:c>
      <x:c r="P6" s="47" t="n">
        <x:v>16</x:v>
      </x:c>
      <x:c r="Q6" s="64" t="n">
        <x:f>AVERAGE(N6:P6)</x:f>
        <x:v>22</x:v>
      </x:c>
      <x:c r="R6" s="47" t="n">
        <x:v>17</x:v>
      </x:c>
      <x:c r="S6" s="47" t="n">
        <x:v>23</x:v>
      </x:c>
      <x:c r="T6" s="47" t="n">
        <x:v>18</x:v>
      </x:c>
      <x:c r="U6" s="64" t="n">
        <x:f>AVERAGE(R6:T6)</x:f>
        <x:v>19.333333333333332</x:v>
      </x:c>
      <x:c r="V6" s="47" t="n">
        <x:v>37</x:v>
      </x:c>
      <x:c r="W6" s="47" t="n">
        <x:v>53</x:v>
      </x:c>
      <x:c r="X6" s="47" t="n">
        <x:v>34</x:v>
      </x:c>
      <x:c r="Y6" s="74" t="n">
        <x:f>AVERAGE(V6:X6)</x:f>
        <x:v>41.333333333333336</x:v>
      </x:c>
    </x:row>
    <x:row r="7">
      <x:c r="A7" s="46" t="n">
        <x:v>150000</x:v>
      </x:c>
      <x:c r="B7" s="47" t="n">
        <x:v>76</x:v>
      </x:c>
      <x:c r="C7" s="47" t="n">
        <x:v>82</x:v>
      </x:c>
      <x:c r="D7" s="47" t="n">
        <x:v>87</x:v>
      </x:c>
      <x:c r="E7" s="64" t="n">
        <x:f>AVERAGE(B7:D7)</x:f>
        <x:v>81.66666666666667</x:v>
      </x:c>
      <x:c r="F7" s="47" t="n">
        <x:v>101</x:v>
      </x:c>
      <x:c r="G7" s="47" t="n">
        <x:v>90</x:v>
      </x:c>
      <x:c r="H7" s="47" t="n">
        <x:v>106</x:v>
      </x:c>
      <x:c r="I7" s="64" t="n">
        <x:f>AVERAGE(F7:H7)</x:f>
        <x:v>99</x:v>
      </x:c>
      <x:c r="J7" s="47" t="n">
        <x:v>177</x:v>
      </x:c>
      <x:c r="K7" s="47" t="n">
        <x:v>172</x:v>
      </x:c>
      <x:c r="L7" s="47" t="n">
        <x:v>193</x:v>
      </x:c>
      <x:c r="M7" s="64" t="n">
        <x:f>AVERAGE(J7:L7)</x:f>
        <x:v>180.66666666666666</x:v>
      </x:c>
      <x:c r="N7" s="47" t="n">
        <x:v>33</x:v>
      </x:c>
      <x:c r="O7" s="47" t="n">
        <x:v>27</x:v>
      </x:c>
      <x:c r="P7" s="47" t="n">
        <x:v>53</x:v>
      </x:c>
      <x:c r="Q7" s="64" t="n">
        <x:f>AVERAGE(N7:P7)</x:f>
        <x:v>37.666666666666664</x:v>
      </x:c>
      <x:c r="R7" s="47" t="n">
        <x:v>40</x:v>
      </x:c>
      <x:c r="S7" s="47" t="n">
        <x:v>39</x:v>
      </x:c>
      <x:c r="T7" s="47" t="n">
        <x:v>31</x:v>
      </x:c>
      <x:c r="U7" s="64" t="n">
        <x:f>AVERAGE(R7:T7)</x:f>
        <x:v>36.666666666666664</x:v>
      </x:c>
      <x:c r="V7" s="47" t="n">
        <x:v>73</x:v>
      </x:c>
      <x:c r="W7" s="47" t="n">
        <x:v>66</x:v>
      </x:c>
      <x:c r="X7" s="47" t="n">
        <x:v>84</x:v>
      </x:c>
      <x:c r="Y7" s="74" t="n">
        <x:f>AVERAGE(V7:X7)</x:f>
        <x:v>74.33333333333333</x:v>
      </x:c>
    </x:row>
    <x:row r="8">
      <x:c r="A8" s="46" t="n">
        <x:v>200000</x:v>
      </x:c>
      <x:c r="B8" s="47" t="n">
        <x:v>140</x:v>
      </x:c>
      <x:c r="C8" s="47" t="n">
        <x:v>126</x:v>
      </x:c>
      <x:c r="D8" s="47" t="n">
        <x:v>157</x:v>
      </x:c>
      <x:c r="E8" s="64" t="n">
        <x:f>AVERAGE(B8:D8)</x:f>
        <x:v>141</x:v>
      </x:c>
      <x:c r="F8" s="47" t="n">
        <x:v>191</x:v>
      </x:c>
      <x:c r="G8" s="47" t="n">
        <x:v>186</x:v>
      </x:c>
      <x:c r="H8" s="47" t="n">
        <x:v>166</x:v>
      </x:c>
      <x:c r="I8" s="64" t="n">
        <x:f>AVERAGE(F8:H8)</x:f>
        <x:v>181</x:v>
      </x:c>
      <x:c r="J8" s="47" t="n">
        <x:v>331</x:v>
      </x:c>
      <x:c r="K8" s="47" t="n">
        <x:v>312</x:v>
      </x:c>
      <x:c r="L8" s="47" t="n">
        <x:v>323</x:v>
      </x:c>
      <x:c r="M8" s="64" t="n">
        <x:f>AVERAGE(J8:L8)</x:f>
        <x:v>322</x:v>
      </x:c>
      <x:c r="N8" s="47" t="n">
        <x:v>50</x:v>
      </x:c>
      <x:c r="O8" s="47" t="n">
        <x:v>44</x:v>
      </x:c>
      <x:c r="P8" s="47" t="n">
        <x:v>45</x:v>
      </x:c>
      <x:c r="Q8" s="64" t="n">
        <x:f>AVERAGE(N8:P8)</x:f>
        <x:v>46.333333333333336</x:v>
      </x:c>
      <x:c r="R8" s="47" t="n">
        <x:v>53</x:v>
      </x:c>
      <x:c r="S8" s="47" t="n">
        <x:v>42</x:v>
      </x:c>
      <x:c r="T8" s="47" t="n">
        <x:v>44</x:v>
      </x:c>
      <x:c r="U8" s="64" t="n">
        <x:f>AVERAGE(R8:T8)</x:f>
        <x:v>46.333333333333336</x:v>
      </x:c>
      <x:c r="V8" s="47" t="n">
        <x:v>103</x:v>
      </x:c>
      <x:c r="W8" s="47" t="n">
        <x:v>86</x:v>
      </x:c>
      <x:c r="X8" s="47" t="n">
        <x:v>89</x:v>
      </x:c>
      <x:c r="Y8" s="74" t="n">
        <x:f>AVERAGE(V8:X8)</x:f>
        <x:v>92.66666666666667</x:v>
      </x:c>
    </x:row>
    <x:row r="9">
      <x:c r="A9" s="46" t="n">
        <x:v>250000</x:v>
      </x:c>
      <x:c r="B9" s="47" t="n">
        <x:v>203</x:v>
      </x:c>
      <x:c r="C9" s="47" t="n">
        <x:v>166</x:v>
      </x:c>
      <x:c r="D9" s="47" t="n">
        <x:v>194</x:v>
      </x:c>
      <x:c r="E9" s="64" t="n">
        <x:f>AVERAGE(B9:D9)</x:f>
        <x:v>187.66666666666666</x:v>
      </x:c>
      <x:c r="F9" s="47" t="n">
        <x:v>248</x:v>
      </x:c>
      <x:c r="G9" s="47" t="n">
        <x:v>228</x:v>
      </x:c>
      <x:c r="H9" s="47" t="n">
        <x:v>214</x:v>
      </x:c>
      <x:c r="I9" s="64" t="n">
        <x:f>AVERAGE(F9:H9)</x:f>
        <x:v>230</x:v>
      </x:c>
      <x:c r="J9" s="47" t="n">
        <x:v>451</x:v>
      </x:c>
      <x:c r="K9" s="47" t="n">
        <x:v>394</x:v>
      </x:c>
      <x:c r="L9" s="47" t="n">
        <x:v>408</x:v>
      </x:c>
      <x:c r="M9" s="64" t="n">
        <x:f>AVERAGE(J9:L9)</x:f>
        <x:v>417.6666666666667</x:v>
      </x:c>
      <x:c r="N9" s="47" t="n">
        <x:v>71</x:v>
      </x:c>
      <x:c r="O9" s="47" t="n">
        <x:v>58</x:v>
      </x:c>
      <x:c r="P9" s="47" t="n">
        <x:v>51</x:v>
      </x:c>
      <x:c r="Q9" s="64" t="n">
        <x:f>AVERAGE(N9:P9)</x:f>
        <x:v>60</x:v>
      </x:c>
      <x:c r="R9" s="47" t="n">
        <x:v>78</x:v>
      </x:c>
      <x:c r="S9" s="47" t="n">
        <x:v>81</x:v>
      </x:c>
      <x:c r="T9" s="47" t="n">
        <x:v>76</x:v>
      </x:c>
      <x:c r="U9" s="64" t="n">
        <x:f>AVERAGE(R9:T9)</x:f>
        <x:v>78.33333333333333</x:v>
      </x:c>
      <x:c r="V9" s="47" t="n">
        <x:v>149</x:v>
      </x:c>
      <x:c r="W9" s="47" t="n">
        <x:v>139</x:v>
      </x:c>
      <x:c r="X9" s="47" t="n">
        <x:v>127</x:v>
      </x:c>
      <x:c r="Y9" s="74" t="n">
        <x:f>AVERAGE(V9:X9)</x:f>
        <x:v>138.33333333333334</x:v>
      </x:c>
    </x:row>
    <x:row r="10">
      <x:c r="A10" s="46" t="n">
        <x:v>300000</x:v>
      </x:c>
      <x:c r="B10" s="47" t="n">
        <x:v>232</x:v>
      </x:c>
      <x:c r="C10" s="47" t="n">
        <x:v>200</x:v>
      </x:c>
      <x:c r="D10" s="47" t="n">
        <x:v>235</x:v>
      </x:c>
      <x:c r="E10" s="64" t="n">
        <x:f>AVERAGE(B10:D10)</x:f>
        <x:v>222.33333333333334</x:v>
      </x:c>
      <x:c r="F10" s="47" t="n">
        <x:v>279</x:v>
      </x:c>
      <x:c r="G10" s="47" t="n">
        <x:v>193</x:v>
      </x:c>
      <x:c r="H10" s="47" t="n">
        <x:v>259</x:v>
      </x:c>
      <x:c r="I10" s="64" t="n">
        <x:f>AVERAGE(F10:H10)</x:f>
        <x:v>243.66666666666666</x:v>
      </x:c>
      <x:c r="J10" s="47" t="n">
        <x:v>511</x:v>
      </x:c>
      <x:c r="K10" s="47" t="n">
        <x:v>393</x:v>
      </x:c>
      <x:c r="L10" s="47" t="n">
        <x:v>494</x:v>
      </x:c>
      <x:c r="M10" s="64" t="n">
        <x:f>AVERAGE(J10:L10)</x:f>
        <x:v>466</x:v>
      </x:c>
      <x:c r="N10" s="47" t="n">
        <x:v>98</x:v>
      </x:c>
      <x:c r="O10" s="47" t="n">
        <x:v>78</x:v>
      </x:c>
      <x:c r="P10" s="47" t="n">
        <x:v>75</x:v>
      </x:c>
      <x:c r="Q10" s="64" t="n">
        <x:f>AVERAGE(N10:P10)</x:f>
        <x:v>83.66666666666667</x:v>
      </x:c>
      <x:c r="R10" s="47" t="n">
        <x:v>94</x:v>
      </x:c>
      <x:c r="S10" s="47" t="n">
        <x:v>98</x:v>
      </x:c>
      <x:c r="T10" s="47" t="n">
        <x:v>107</x:v>
      </x:c>
      <x:c r="U10" s="64" t="n">
        <x:f>AVERAGE(R10:T10)</x:f>
        <x:v>99.66666666666667</x:v>
      </x:c>
      <x:c r="V10" s="47" t="n">
        <x:v>192</x:v>
      </x:c>
      <x:c r="W10" s="47" t="n">
        <x:v>176</x:v>
      </x:c>
      <x:c r="X10" s="47" t="n">
        <x:v>182</x:v>
      </x:c>
      <x:c r="Y10" s="74" t="n">
        <x:f>AVERAGE(V10:X10)</x:f>
        <x:v>183.33333333333334</x:v>
      </x:c>
    </x:row>
    <x:row r="11">
      <x:c r="A11" s="46" t="n">
        <x:v>350000</x:v>
      </x:c>
      <x:c r="B11" s="47" t="n">
        <x:v>341</x:v>
      </x:c>
      <x:c r="C11" s="47" t="n">
        <x:v>285</x:v>
      </x:c>
      <x:c r="D11" s="47" t="n">
        <x:v>285</x:v>
      </x:c>
      <x:c r="E11" s="64" t="n">
        <x:f>AVERAGE(B11:D11)</x:f>
        <x:v>303.6666666666667</x:v>
      </x:c>
      <x:c r="F11" s="47" t="n">
        <x:v>443</x:v>
      </x:c>
      <x:c r="G11" s="47" t="n">
        <x:v>389</x:v>
      </x:c>
      <x:c r="H11" s="47" t="n">
        <x:v>376</x:v>
      </x:c>
      <x:c r="I11" s="64" t="n">
        <x:f>AVERAGE(F11:H11)</x:f>
        <x:v>402.6666666666667</x:v>
      </x:c>
      <x:c r="J11" s="47" t="n">
        <x:v>784</x:v>
      </x:c>
      <x:c r="K11" s="47" t="n">
        <x:v>674</x:v>
      </x:c>
      <x:c r="L11" s="47" t="n">
        <x:v>661</x:v>
      </x:c>
      <x:c r="M11" s="64" t="n">
        <x:f>AVERAGE(J11:L11)</x:f>
        <x:v>706.3333333333334</x:v>
      </x:c>
      <x:c r="N11" s="47" t="n">
        <x:v>104</x:v>
      </x:c>
      <x:c r="O11" s="47" t="n">
        <x:v>109</x:v>
      </x:c>
      <x:c r="P11" s="47" t="n">
        <x:v>79</x:v>
      </x:c>
      <x:c r="Q11" s="64" t="n">
        <x:f>AVERAGE(N11:P11)</x:f>
        <x:v>97.33333333333333</x:v>
      </x:c>
      <x:c r="R11" s="47" t="n">
        <x:v>124</x:v>
      </x:c>
      <x:c r="S11" s="47" t="n">
        <x:v>156</x:v>
      </x:c>
      <x:c r="T11" s="47" t="n">
        <x:v>128</x:v>
      </x:c>
      <x:c r="U11" s="64" t="n">
        <x:f>AVERAGE(R11:T11)</x:f>
        <x:v>136</x:v>
      </x:c>
      <x:c r="V11" s="47" t="n">
        <x:v>228</x:v>
      </x:c>
      <x:c r="W11" s="47" t="n">
        <x:v>265</x:v>
      </x:c>
      <x:c r="X11" s="47" t="n">
        <x:v>207</x:v>
      </x:c>
      <x:c r="Y11" s="74" t="n">
        <x:f>AVERAGE(V11:X11)</x:f>
        <x:v>233.33333333333334</x:v>
      </x:c>
    </x:row>
    <x:row r="12">
      <x:c r="A12" s="46" t="n">
        <x:v>400000</x:v>
      </x:c>
      <x:c r="B12" s="47" t="n">
        <x:v>337</x:v>
      </x:c>
      <x:c r="C12" s="47" t="n">
        <x:v>401</x:v>
      </x:c>
      <x:c r="D12" s="47" t="n">
        <x:v>294</x:v>
      </x:c>
      <x:c r="E12" s="64" t="n">
        <x:f>AVERAGE(B12:D12)</x:f>
        <x:v>344</x:v>
      </x:c>
      <x:c r="F12" s="47" t="n">
        <x:v>493</x:v>
      </x:c>
      <x:c r="G12" s="47" t="n">
        <x:v>444</x:v>
      </x:c>
      <x:c r="H12" s="47" t="n">
        <x:v>432</x:v>
      </x:c>
      <x:c r="I12" s="64" t="n">
        <x:f>AVERAGE(F12:H12)</x:f>
        <x:v>456.3333333333333</x:v>
      </x:c>
      <x:c r="J12" s="47" t="n">
        <x:v>830</x:v>
      </x:c>
      <x:c r="K12" s="47" t="n">
        <x:v>845</x:v>
      </x:c>
      <x:c r="L12" s="47" t="n">
        <x:v>726</x:v>
      </x:c>
      <x:c r="M12" s="64" t="n">
        <x:f>AVERAGE(J12:L12)</x:f>
        <x:v>800.3333333333334</x:v>
      </x:c>
      <x:c r="N12" s="47" t="n">
        <x:v>106</x:v>
      </x:c>
      <x:c r="O12" s="47" t="n">
        <x:v>113</x:v>
      </x:c>
      <x:c r="P12" s="47" t="n">
        <x:v>101</x:v>
      </x:c>
      <x:c r="Q12" s="64" t="n">
        <x:f>AVERAGE(N12:P12)</x:f>
        <x:v>106.66666666666667</x:v>
      </x:c>
      <x:c r="R12" s="47" t="n">
        <x:v>141</x:v>
      </x:c>
      <x:c r="S12" s="47" t="n">
        <x:v>135</x:v>
      </x:c>
      <x:c r="T12" s="47" t="n">
        <x:v>140</x:v>
      </x:c>
      <x:c r="U12" s="64" t="n">
        <x:f>AVERAGE(R12:T12)</x:f>
        <x:v>138.66666666666666</x:v>
      </x:c>
      <x:c r="V12" s="47" t="n">
        <x:v>247</x:v>
      </x:c>
      <x:c r="W12" s="47" t="n">
        <x:v>248</x:v>
      </x:c>
      <x:c r="X12" s="47" t="n">
        <x:v>241</x:v>
      </x:c>
      <x:c r="Y12" s="74" t="n">
        <x:f>AVERAGE(V12:X12)</x:f>
        <x:v>245.33333333333334</x:v>
      </x:c>
    </x:row>
    <x:row r="13">
      <x:c r="A13" s="46" t="n">
        <x:v>450000</x:v>
      </x:c>
      <x:c r="B13" s="47" t="n">
        <x:v>298</x:v>
      </x:c>
      <x:c r="C13" s="47" t="n">
        <x:v>362</x:v>
      </x:c>
      <x:c r="D13" s="47" t="n">
        <x:v>340</x:v>
      </x:c>
      <x:c r="E13" s="64" t="n">
        <x:f>AVERAGE(B13:D13)</x:f>
        <x:v>333.3333333333333</x:v>
      </x:c>
      <x:c r="F13" s="47" t="n">
        <x:v>427</x:v>
      </x:c>
      <x:c r="G13" s="47" t="n">
        <x:v>496</x:v>
      </x:c>
      <x:c r="H13" s="47" t="n">
        <x:v>367</x:v>
      </x:c>
      <x:c r="I13" s="64" t="n">
        <x:f>AVERAGE(F13:H13)</x:f>
        <x:v>430</x:v>
      </x:c>
      <x:c r="J13" s="47" t="n">
        <x:v>725</x:v>
      </x:c>
      <x:c r="K13" s="47" t="n">
        <x:v>858</x:v>
      </x:c>
      <x:c r="L13" s="47" t="n">
        <x:v>707</x:v>
      </x:c>
      <x:c r="M13" s="64" t="n">
        <x:f>AVERAGE(J13:L13)</x:f>
        <x:v>763.3333333333334</x:v>
      </x:c>
      <x:c r="N13" s="47" t="n">
        <x:v>149</x:v>
      </x:c>
      <x:c r="O13" s="47" t="n">
        <x:v>119</x:v>
      </x:c>
      <x:c r="P13" s="47" t="n">
        <x:v>106</x:v>
      </x:c>
      <x:c r="Q13" s="64" t="n">
        <x:f>AVERAGE(N13:P13)</x:f>
        <x:v>124.66666666666667</x:v>
      </x:c>
      <x:c r="R13" s="47" t="n">
        <x:v>178</x:v>
      </x:c>
      <x:c r="S13" s="47" t="n">
        <x:v>187</x:v>
      </x:c>
      <x:c r="T13" s="47" t="n">
        <x:v>160</x:v>
      </x:c>
      <x:c r="U13" s="64" t="n">
        <x:f>AVERAGE(R13:T13)</x:f>
        <x:v>175</x:v>
      </x:c>
      <x:c r="V13" s="47" t="n">
        <x:v>327</x:v>
      </x:c>
      <x:c r="W13" s="47" t="n">
        <x:v>306</x:v>
      </x:c>
      <x:c r="X13" s="47" t="n">
        <x:v>266</x:v>
      </x:c>
      <x:c r="Y13" s="74" t="n">
        <x:f>AVERAGE(V13:X13)</x:f>
        <x:v>299.6666666666667</x:v>
      </x:c>
    </x:row>
    <x:row r="14">
      <x:c r="A14" s="49" t="n">
        <x:v>500000</x:v>
      </x:c>
      <x:c r="B14" s="50" t="n">
        <x:v>407</x:v>
      </x:c>
      <x:c r="C14" s="50" t="n">
        <x:v>396</x:v>
      </x:c>
      <x:c r="D14" s="50" t="n">
        <x:v>412</x:v>
      </x:c>
      <x:c r="E14" s="65" t="n">
        <x:f>AVERAGE(B14:D14)</x:f>
        <x:v>405</x:v>
      </x:c>
      <x:c r="F14" s="50" t="n">
        <x:v>461</x:v>
      </x:c>
      <x:c r="G14" s="50" t="n">
        <x:v>409</x:v>
      </x:c>
      <x:c r="H14" s="50" t="n">
        <x:v>417</x:v>
      </x:c>
      <x:c r="I14" s="65" t="n">
        <x:f>AVERAGE(F14:H14)</x:f>
        <x:v>429</x:v>
      </x:c>
      <x:c r="J14" s="50" t="n">
        <x:v>868</x:v>
      </x:c>
      <x:c r="K14" s="50" t="n">
        <x:v>805</x:v>
      </x:c>
      <x:c r="L14" s="50" t="n">
        <x:v>829</x:v>
      </x:c>
      <x:c r="M14" s="65" t="n">
        <x:f>AVERAGE(J14:L14)</x:f>
        <x:v>834</x:v>
      </x:c>
      <x:c r="N14" s="50" t="n">
        <x:v>190</x:v>
      </x:c>
      <x:c r="O14" s="50" t="n">
        <x:v>139</x:v>
      </x:c>
      <x:c r="P14" s="50" t="n">
        <x:v>130</x:v>
      </x:c>
      <x:c r="Q14" s="65" t="n">
        <x:f>AVERAGE(N14:P14)</x:f>
        <x:v>153</x:v>
      </x:c>
      <x:c r="R14" s="50" t="n">
        <x:v>229</x:v>
      </x:c>
      <x:c r="S14" s="50" t="n">
        <x:v>204</x:v>
      </x:c>
      <x:c r="T14" s="50" t="n">
        <x:v>189</x:v>
      </x:c>
      <x:c r="U14" s="65" t="n">
        <x:f>AVERAGE(R14:T14)</x:f>
        <x:v>207.33333333333334</x:v>
      </x:c>
      <x:c r="V14" s="50" t="n">
        <x:v>419</x:v>
      </x:c>
      <x:c r="W14" s="50" t="n">
        <x:v>343</x:v>
      </x:c>
      <x:c r="X14" s="50" t="n">
        <x:v>319</x:v>
      </x:c>
      <x:c r="Y14" s="75" t="n">
        <x:f>AVERAGE(V14:X14)</x:f>
        <x:v>360.3333333333333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c828533b379440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5" t="str">
        <x:v>Average Timing Charts</x:v>
      </x:c>
    </x:row>
    <x:row r="3">
      <x:c r="A3" s="28" t="str">
        <x:v>Test Size</x:v>
      </x:c>
      <x:c r="B3" s="29" t="str">
        <x:v>Skip List Avg Insert</x:v>
      </x:c>
      <x:c r="C3" s="30" t="str">
        <x:v>TreeSet Avg Insert</x:v>
      </x:c>
    </x:row>
    <x:row r="4">
      <x:c r="A4" s="46" t="n">
        <x:v>50000</x:v>
      </x:c>
      <x:c r="B4" s="47" t="n">
        <x:f>Data!E5</x:f>
        <x:v>34</x:v>
      </x:c>
      <x:c r="C4" s="48" t="n">
        <x:f>Data!Q5</x:f>
        <x:v>17.666666666666668</x:v>
      </x:c>
    </x:row>
    <x:row r="5">
      <x:c r="A5" s="46" t="n">
        <x:v>100000</x:v>
      </x:c>
      <x:c r="B5" s="47" t="n">
        <x:f>Data!E6</x:f>
        <x:v>54</x:v>
      </x:c>
      <x:c r="C5" s="48" t="n">
        <x:f>Data!Q6</x:f>
        <x:v>22</x:v>
      </x:c>
    </x:row>
    <x:row r="6">
      <x:c r="A6" s="46" t="n">
        <x:v>150000</x:v>
      </x:c>
      <x:c r="B6" s="47" t="n">
        <x:f>Data!E7</x:f>
        <x:v>81.66666666666667</x:v>
      </x:c>
      <x:c r="C6" s="48" t="n">
        <x:f>Data!Q7</x:f>
        <x:v>37.666666666666664</x:v>
      </x:c>
    </x:row>
    <x:row r="7">
      <x:c r="A7" s="46" t="n">
        <x:v>200000</x:v>
      </x:c>
      <x:c r="B7" s="47" t="n">
        <x:f>Data!E8</x:f>
        <x:v>141</x:v>
      </x:c>
      <x:c r="C7" s="48" t="n">
        <x:f>Data!Q8</x:f>
        <x:v>46.333333333333336</x:v>
      </x:c>
    </x:row>
    <x:row r="8">
      <x:c r="A8" s="46" t="n">
        <x:v>250000</x:v>
      </x:c>
      <x:c r="B8" s="47" t="n">
        <x:f>Data!E9</x:f>
        <x:v>187.66666666666666</x:v>
      </x:c>
      <x:c r="C8" s="48" t="n">
        <x:f>Data!Q9</x:f>
        <x:v>60</x:v>
      </x:c>
    </x:row>
    <x:row r="9">
      <x:c r="A9" s="46" t="n">
        <x:v>300000</x:v>
      </x:c>
      <x:c r="B9" s="47" t="n">
        <x:f>Data!E10</x:f>
        <x:v>222.33333333333334</x:v>
      </x:c>
      <x:c r="C9" s="48" t="n">
        <x:f>Data!Q10</x:f>
        <x:v>83.66666666666667</x:v>
      </x:c>
    </x:row>
    <x:row r="10">
      <x:c r="A10" s="46" t="n">
        <x:v>350000</x:v>
      </x:c>
      <x:c r="B10" s="47" t="n">
        <x:f>Data!E11</x:f>
        <x:v>303.6666666666667</x:v>
      </x:c>
      <x:c r="C10" s="48" t="n">
        <x:f>Data!Q11</x:f>
        <x:v>97.33333333333333</x:v>
      </x:c>
    </x:row>
    <x:row r="11">
      <x:c r="A11" s="46" t="n">
        <x:v>400000</x:v>
      </x:c>
      <x:c r="B11" s="47" t="n">
        <x:f>Data!E12</x:f>
        <x:v>344</x:v>
      </x:c>
      <x:c r="C11" s="48" t="n">
        <x:f>Data!Q12</x:f>
        <x:v>106.66666666666667</x:v>
      </x:c>
    </x:row>
    <x:row r="12">
      <x:c r="A12" s="46" t="n">
        <x:v>450000</x:v>
      </x:c>
      <x:c r="B12" s="47" t="n">
        <x:f>Data!E13</x:f>
        <x:v>333.3333333333333</x:v>
      </x:c>
      <x:c r="C12" s="48" t="n">
        <x:f>Data!Q13</x:f>
        <x:v>124.66666666666667</x:v>
      </x:c>
    </x:row>
    <x:row r="13">
      <x:c r="A13" s="49" t="n">
        <x:v>500000</x:v>
      </x:c>
      <x:c r="B13" s="50" t="n">
        <x:f>Data!E14</x:f>
        <x:v>405</x:v>
      </x:c>
      <x:c r="C13" s="51" t="n">
        <x:f>Data!Q14</x:f>
        <x:v>153</x:v>
      </x:c>
    </x:row>
    <x:row r="14">
      <x:c r="A14" s="90"/>
      <x:c r="B14" s="90"/>
      <x:c r="C14" s="90"/>
    </x:row>
    <x:row r="15">
      <x:c r="A15" s="90"/>
      <x:c r="B15" s="90"/>
      <x:c r="C15" s="90"/>
    </x:row>
    <x:row r="16">
      <x:c r="A16" s="90"/>
      <x:c r="B16" s="90"/>
      <x:c r="C16" s="90"/>
    </x:row>
    <x:row r="17">
      <x:c r="A17" s="91" t="str">
        <x:v>Test Size</x:v>
      </x:c>
      <x:c r="B17" s="92" t="str">
        <x:v>Skip List Avg Delete</x:v>
      </x:c>
      <x:c r="C17" s="93" t="str">
        <x:v>TreeSet Avg Delete</x:v>
      </x:c>
    </x:row>
    <x:row r="18">
      <x:c r="A18" s="46" t="n">
        <x:v>50000</x:v>
      </x:c>
      <x:c r="B18" s="47" t="n">
        <x:f>Data!I5</x:f>
        <x:v>28</x:v>
      </x:c>
      <x:c r="C18" s="48" t="n">
        <x:f>Data!U5</x:f>
        <x:v>10.666666666666666</x:v>
      </x:c>
    </x:row>
    <x:row r="19">
      <x:c r="A19" s="46" t="n">
        <x:v>100000</x:v>
      </x:c>
      <x:c r="B19" s="47" t="n">
        <x:f>Data!I6</x:f>
        <x:v>57.666666666666664</x:v>
      </x:c>
      <x:c r="C19" s="48" t="n">
        <x:f>Data!U6</x:f>
        <x:v>19.333333333333332</x:v>
      </x:c>
    </x:row>
    <x:row r="20">
      <x:c r="A20" s="46" t="n">
        <x:v>150000</x:v>
      </x:c>
      <x:c r="B20" s="47" t="n">
        <x:f>Data!I7</x:f>
        <x:v>99</x:v>
      </x:c>
      <x:c r="C20" s="48" t="n">
        <x:f>Data!U7</x:f>
        <x:v>36.666666666666664</x:v>
      </x:c>
    </x:row>
    <x:row r="21">
      <x:c r="A21" s="46" t="n">
        <x:v>200000</x:v>
      </x:c>
      <x:c r="B21" s="47" t="n">
        <x:f>Data!I8</x:f>
        <x:v>181</x:v>
      </x:c>
      <x:c r="C21" s="48" t="n">
        <x:f>Data!U8</x:f>
        <x:v>46.333333333333336</x:v>
      </x:c>
    </x:row>
    <x:row r="22">
      <x:c r="A22" s="46" t="n">
        <x:v>250000</x:v>
      </x:c>
      <x:c r="B22" s="47" t="n">
        <x:f>Data!I9</x:f>
        <x:v>230</x:v>
      </x:c>
      <x:c r="C22" s="48" t="n">
        <x:f>Data!U9</x:f>
        <x:v>78.33333333333333</x:v>
      </x:c>
    </x:row>
    <x:row r="23">
      <x:c r="A23" s="46" t="n">
        <x:v>300000</x:v>
      </x:c>
      <x:c r="B23" s="47" t="n">
        <x:f>Data!I10</x:f>
        <x:v>243.66666666666666</x:v>
      </x:c>
      <x:c r="C23" s="48" t="n">
        <x:f>Data!U10</x:f>
        <x:v>99.66666666666667</x:v>
      </x:c>
    </x:row>
    <x:row r="24">
      <x:c r="A24" s="46" t="n">
        <x:v>350000</x:v>
      </x:c>
      <x:c r="B24" s="47" t="n">
        <x:f>Data!I11</x:f>
        <x:v>402.6666666666667</x:v>
      </x:c>
      <x:c r="C24" s="48" t="n">
        <x:f>Data!U11</x:f>
        <x:v>136</x:v>
      </x:c>
    </x:row>
    <x:row r="25">
      <x:c r="A25" s="46" t="n">
        <x:v>400000</x:v>
      </x:c>
      <x:c r="B25" s="47" t="n">
        <x:f>Data!I12</x:f>
        <x:v>456.3333333333333</x:v>
      </x:c>
      <x:c r="C25" s="48" t="n">
        <x:f>Data!U12</x:f>
        <x:v>138.66666666666666</x:v>
      </x:c>
    </x:row>
    <x:row r="26">
      <x:c r="A26" s="46" t="n">
        <x:v>450000</x:v>
      </x:c>
      <x:c r="B26" s="47" t="n">
        <x:f>Data!I13</x:f>
        <x:v>430</x:v>
      </x:c>
      <x:c r="C26" s="48" t="n">
        <x:f>Data!U13</x:f>
        <x:v>175</x:v>
      </x:c>
    </x:row>
    <x:row r="27">
      <x:c r="A27" s="49" t="n">
        <x:v>500000</x:v>
      </x:c>
      <x:c r="B27" s="50" t="n">
        <x:f>Data!I14</x:f>
        <x:v>429</x:v>
      </x:c>
      <x:c r="C27" s="51" t="n">
        <x:f>Data!U14</x:f>
        <x:v>207.33333333333334</x:v>
      </x:c>
    </x:row>
    <x:row r="28">
      <x:c r="A28" s="90"/>
      <x:c r="B28" s="90"/>
      <x:c r="C28" s="90"/>
    </x:row>
    <x:row r="29">
      <x:c r="A29" s="90"/>
      <x:c r="B29" s="90"/>
      <x:c r="C29" s="90"/>
    </x:row>
    <x:row r="30">
      <x:c r="A30" s="90"/>
      <x:c r="B30" s="90"/>
      <x:c r="C30" s="90"/>
    </x:row>
    <x:row r="31">
      <x:c r="A31" s="91" t="str">
        <x:v>Test Size</x:v>
      </x:c>
      <x:c r="B31" s="92" t="str">
        <x:v>Skip List Avg Total</x:v>
      </x:c>
      <x:c r="C31" s="93" t="str">
        <x:v>TreeSet Avg Total</x:v>
      </x:c>
    </x:row>
    <x:row r="32">
      <x:c r="A32" s="46" t="n">
        <x:v>50000</x:v>
      </x:c>
      <x:c r="B32" s="47" t="n">
        <x:f>Data!M5</x:f>
        <x:v>62</x:v>
      </x:c>
      <x:c r="C32" s="48" t="n">
        <x:f>Data!Y5</x:f>
        <x:v>28.333333333333332</x:v>
      </x:c>
    </x:row>
    <x:row r="33">
      <x:c r="A33" s="46" t="n">
        <x:v>100000</x:v>
      </x:c>
      <x:c r="B33" s="47" t="n">
        <x:f>Data!M6</x:f>
        <x:v>111.66666666666667</x:v>
      </x:c>
      <x:c r="C33" s="48" t="n">
        <x:f>Data!Y6</x:f>
        <x:v>41.333333333333336</x:v>
      </x:c>
    </x:row>
    <x:row r="34">
      <x:c r="A34" s="46" t="n">
        <x:v>150000</x:v>
      </x:c>
      <x:c r="B34" s="47" t="n">
        <x:f>Data!M7</x:f>
        <x:v>180.66666666666666</x:v>
      </x:c>
      <x:c r="C34" s="48" t="n">
        <x:f>Data!Y7</x:f>
        <x:v>74.33333333333333</x:v>
      </x:c>
    </x:row>
    <x:row r="35">
      <x:c r="A35" s="46" t="n">
        <x:v>200000</x:v>
      </x:c>
      <x:c r="B35" s="47" t="n">
        <x:f>Data!M8</x:f>
        <x:v>322</x:v>
      </x:c>
      <x:c r="C35" s="48" t="n">
        <x:f>Data!Y8</x:f>
        <x:v>92.66666666666667</x:v>
      </x:c>
    </x:row>
    <x:row r="36">
      <x:c r="A36" s="46" t="n">
        <x:v>250000</x:v>
      </x:c>
      <x:c r="B36" s="47" t="n">
        <x:f>Data!M9</x:f>
        <x:v>417.6666666666667</x:v>
      </x:c>
      <x:c r="C36" s="48" t="n">
        <x:f>Data!Y9</x:f>
        <x:v>138.33333333333334</x:v>
      </x:c>
    </x:row>
    <x:row r="37">
      <x:c r="A37" s="46" t="n">
        <x:v>300000</x:v>
      </x:c>
      <x:c r="B37" s="47" t="n">
        <x:f>Data!M10</x:f>
        <x:v>466</x:v>
      </x:c>
      <x:c r="C37" s="48" t="n">
        <x:f>Data!Y10</x:f>
        <x:v>183.33333333333334</x:v>
      </x:c>
    </x:row>
    <x:row r="38">
      <x:c r="A38" s="46" t="n">
        <x:v>350000</x:v>
      </x:c>
      <x:c r="B38" s="47" t="n">
        <x:f>Data!M11</x:f>
        <x:v>706.3333333333334</x:v>
      </x:c>
      <x:c r="C38" s="48" t="n">
        <x:f>Data!Y11</x:f>
        <x:v>233.33333333333334</x:v>
      </x:c>
    </x:row>
    <x:row r="39">
      <x:c r="A39" s="46" t="n">
        <x:v>400000</x:v>
      </x:c>
      <x:c r="B39" s="47" t="n">
        <x:f>Data!M12</x:f>
        <x:v>800.3333333333334</x:v>
      </x:c>
      <x:c r="C39" s="48" t="n">
        <x:f>Data!Y12</x:f>
        <x:v>245.33333333333334</x:v>
      </x:c>
    </x:row>
    <x:row r="40">
      <x:c r="A40" s="46" t="n">
        <x:v>450000</x:v>
      </x:c>
      <x:c r="B40" s="47" t="n">
        <x:f>Data!M13</x:f>
        <x:v>763.3333333333334</x:v>
      </x:c>
      <x:c r="C40" s="48" t="n">
        <x:f>Data!Y13</x:f>
        <x:v>299.6666666666667</x:v>
      </x:c>
    </x:row>
    <x:row r="41">
      <x:c r="A41" s="49" t="n">
        <x:v>500000</x:v>
      </x:c>
      <x:c r="B41" s="50" t="n">
        <x:f>Data!M14</x:f>
        <x:v>834</x:v>
      </x:c>
      <x:c r="C41" s="51" t="n">
        <x:f>Data!Y14</x:f>
        <x:v>360.3333333333333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2f26c9c794847ee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44" hidden="0" customWidth="1"/>
    <x:col min="6" max="6" width="20" hidden="0" customWidth="1"/>
  </x:cols>
  <x:sheetData>
    <x:row r="1">
      <x:c r="A1" s="5" t="str">
        <x:v>Run Averages Summary</x:v>
      </x:c>
    </x:row>
    <x:row r="3">
      <x:c r="A3" s="28" t="str">
        <x:v>Metric</x:v>
      </x:c>
      <x:c r="B3" s="29" t="str">
        <x:v>50k Avg</x:v>
      </x:c>
      <x:c r="C3" s="29" t="str">
        <x:v>500k Avg</x:v>
      </x:c>
      <x:c r="D3" s="29" t="str">
        <x:v>Increase</x:v>
      </x:c>
      <x:c r="E3" s="29" t="str">
        <x:v>Observation</x:v>
      </x:c>
      <x:c r="F3" s="30" t="str">
        <x:v>Formula Source</x:v>
      </x:c>
    </x:row>
    <x:row r="4">
      <x:c r="A4" s="98" t="str">
        <x:v>Skip List Insert</x:v>
      </x:c>
      <x:c r="B4" s="110" t="n">
        <x:f>Data!E5</x:f>
        <x:v>34</x:v>
      </x:c>
      <x:c r="C4" s="110" t="n">
        <x:f>Data!E14</x:f>
        <x:v>405</x:v>
      </x:c>
      <x:c r="D4" s="110" t="n">
        <x:f>C4-B4</x:f>
        <x:v>371</x:v>
      </x:c>
      <x:c r="E4" s="99" t="str">
        <x:v>Skip list insertion grows as test size increases.</x:v>
      </x:c>
      <x:c r="F4" s="100" t="str">
        <x:v>Data avg column E</x:v>
      </x:c>
    </x:row>
    <x:row r="5">
      <x:c r="A5" s="98" t="str">
        <x:v>TreeSet Insert</x:v>
      </x:c>
      <x:c r="B5" s="110" t="n">
        <x:f>Data!Q5</x:f>
        <x:v>17.666666666666668</x:v>
      </x:c>
      <x:c r="C5" s="110" t="n">
        <x:f>Data!Q14</x:f>
        <x:v>153</x:v>
      </x:c>
      <x:c r="D5" s="110" t="n">
        <x:f>C5-B5</x:f>
        <x:v>135.33333333333334</x:v>
      </x:c>
      <x:c r="E5" s="99" t="str">
        <x:v>TreeSet insertion is faster in these runs.</x:v>
      </x:c>
      <x:c r="F5" s="100" t="str">
        <x:v>Data avg column Q</x:v>
      </x:c>
    </x:row>
    <x:row r="6">
      <x:c r="A6" s="98" t="str">
        <x:v>Skip List Delete</x:v>
      </x:c>
      <x:c r="B6" s="110" t="n">
        <x:f>Data!I5</x:f>
        <x:v>28</x:v>
      </x:c>
      <x:c r="C6" s="110" t="n">
        <x:f>Data!I14</x:f>
        <x:v>429</x:v>
      </x:c>
      <x:c r="D6" s="110" t="n">
        <x:f>C6-B6</x:f>
        <x:v>401</x:v>
      </x:c>
      <x:c r="E6" s="99" t="str">
        <x:v>Skip list deletion is the slowest operation overall.</x:v>
      </x:c>
      <x:c r="F6" s="100" t="str">
        <x:v>Data avg column I</x:v>
      </x:c>
    </x:row>
    <x:row r="7">
      <x:c r="A7" s="98" t="str">
        <x:v>TreeSet Delete</x:v>
      </x:c>
      <x:c r="B7" s="110" t="n">
        <x:f>Data!U5</x:f>
        <x:v>10.666666666666666</x:v>
      </x:c>
      <x:c r="C7" s="110" t="n">
        <x:f>Data!U14</x:f>
        <x:v>207.33333333333334</x:v>
      </x:c>
      <x:c r="D7" s="110" t="n">
        <x:f>C7-B7</x:f>
        <x:v>196.66666666666669</x:v>
      </x:c>
      <x:c r="E7" s="99" t="str">
        <x:v>TreeSet deletion scales better here than skip list deletion.</x:v>
      </x:c>
      <x:c r="F7" s="100" t="str">
        <x:v>Data avg column U</x:v>
      </x:c>
    </x:row>
    <x:row r="8">
      <x:c r="A8" s="98" t="str">
        <x:v>Skip List Total</x:v>
      </x:c>
      <x:c r="B8" s="110" t="n">
        <x:f>Data!M5</x:f>
        <x:v>62</x:v>
      </x:c>
      <x:c r="C8" s="110" t="n">
        <x:f>Data!M14</x:f>
        <x:v>834</x:v>
      </x:c>
      <x:c r="D8" s="110" t="n">
        <x:f>C8-B8</x:f>
        <x:v>772</x:v>
      </x:c>
      <x:c r="E8" s="99" t="str">
        <x:v>Skip list total action time is higher at every test size.</x:v>
      </x:c>
      <x:c r="F8" s="100" t="str">
        <x:v>Data avg column M</x:v>
      </x:c>
    </x:row>
    <x:row r="9">
      <x:c r="A9" s="101" t="str">
        <x:v>TreeSet Total</x:v>
      </x:c>
      <x:c r="B9" s="111" t="n">
        <x:f>Data!Y5</x:f>
        <x:v>28.333333333333332</x:v>
      </x:c>
      <x:c r="C9" s="111" t="n">
        <x:f>Data!Y14</x:f>
        <x:v>360.3333333333333</x:v>
      </x:c>
      <x:c r="D9" s="111" t="n">
        <x:f>C9-B9</x:f>
        <x:v>332</x:v>
      </x:c>
      <x:c r="E9" s="102" t="str">
        <x:v>TreeSet total action time is lower at every test size.</x:v>
      </x:c>
      <x:c r="F9" s="103" t="str">
        <x:v>Data avg column Y</x:v>
      </x:c>
    </x:row>
  </x:sheetData>
  <x:mergeCells>
    <x:mergeCell ref="A1:F1"/>
  </x:mergeCells>
  <x:pageMargins left="0.7" right="0.7" top="0.75" bottom="0.75" header="0.3" footer="0.3"/>
</x:worksheet>
</file>